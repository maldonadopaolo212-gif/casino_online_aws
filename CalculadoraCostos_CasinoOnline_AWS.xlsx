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o9l\Downloads\"/>
    </mc:Choice>
  </mc:AlternateContent>
  <xr:revisionPtr revIDLastSave="0" documentId="13_ncr:1_{4DF583F3-FE71-40CD-B9F7-2DAB8A3A581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ostos Mensual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1" l="1"/>
  <c r="F23" i="1"/>
  <c r="F22" i="1"/>
  <c r="F21" i="1"/>
  <c r="F20" i="1"/>
  <c r="F18" i="1"/>
  <c r="F17" i="1"/>
  <c r="F16" i="1"/>
  <c r="F14" i="1"/>
  <c r="F13" i="1"/>
  <c r="F12" i="1"/>
  <c r="F11" i="1"/>
  <c r="F9" i="1"/>
  <c r="F8" i="1"/>
  <c r="F7" i="1"/>
  <c r="F5" i="1"/>
</calcChain>
</file>

<file path=xl/sharedStrings.xml><?xml version="1.0" encoding="utf-8"?>
<sst xmlns="http://schemas.openxmlformats.org/spreadsheetml/2006/main" count="69" uniqueCount="68">
  <si>
    <t>Casino Online — Promarketing Chile  |  Región: ca-central-1 (Canadá)  |  Estimado Mensual USD</t>
  </si>
  <si>
    <t>Servicio</t>
  </si>
  <si>
    <t>Descripción / Configuración</t>
  </si>
  <si>
    <t>Cantidad</t>
  </si>
  <si>
    <t>Precio Unit. (USD)</t>
  </si>
  <si>
    <t>Horas/mes</t>
  </si>
  <si>
    <t>Subtotal (USD)</t>
  </si>
  <si>
    <t>Notas / Fuente</t>
  </si>
  <si>
    <t>Amazon EC2</t>
  </si>
  <si>
    <t>t3.medium — frontsite, backoffice, webapi, gameapi
Subredes privadas — AZ-a y AZ-b</t>
  </si>
  <si>
    <t>On-Demand Linux ca-central-1. 2 vCPU / 4 GB RAM por instancia.</t>
  </si>
  <si>
    <t>Amazon RDS MySQL</t>
  </si>
  <si>
    <t>db.t3.medium Multi-AZ — operaciones transaccionales
Retención backups 7 días</t>
  </si>
  <si>
    <t>Multi-AZ incluye standby en AZ-b. Precio por hora instancia.</t>
  </si>
  <si>
    <t>db.t3.medium — bodega histórica VPC Secundaria
Almacenamiento 100 GB gp2</t>
  </si>
  <si>
    <t>Single-AZ. Bodega de datos históricos del casino.</t>
  </si>
  <si>
    <t>Amazon ElastiCache Redis</t>
  </si>
  <si>
    <t>cache.t3.micro — capa de caché
Reducción de latencia en consultas frecuentes</t>
  </si>
  <si>
    <t>Redis 7. Puerto 6379. Solo accesible desde EC2.</t>
  </si>
  <si>
    <t>NAT Gateway</t>
  </si>
  <si>
    <t>2 NAT Gateways con Elastic IP — AZ-a y AZ-b
Alta disponibilidad en ambas zonas</t>
  </si>
  <si>
    <t>Precio por hora por NAT GW. Excluye costo de datos procesados.</t>
  </si>
  <si>
    <t>Application Load Balancer</t>
  </si>
  <si>
    <t>ALB con certificado SSL/TLS — HTTPS/443
AWS Certificate Manager incluido</t>
  </si>
  <si>
    <t>Precio base por hora. LCU adicionales según tráfico.</t>
  </si>
  <si>
    <t>Amazon CloudFront</t>
  </si>
  <si>
    <t>CDN global — contenido estático del casino
10 GB transferencia estimada/mes</t>
  </si>
  <si>
    <t>Primeros 1 TB/mes: $0.009/GB. Estimado conservador 10 GB.</t>
  </si>
  <si>
    <t>VPC Peering</t>
  </si>
  <si>
    <t>Peering entre VPC Principal y VPC Secundaria
Transferencia de datos inter-VPC</t>
  </si>
  <si>
    <t>Sin costo de hora. Costo por GB transferido: $0.01/GB. Estimado 100 GB.</t>
  </si>
  <si>
    <t>Amazon S3</t>
  </si>
  <si>
    <t>Bucket privado — assets, imágenes, archivos estáticos
Cifrado SSE-S3. ACL bloqueadas. OAC habilitado.</t>
  </si>
  <si>
    <t>50 GB estimado. $0.023/GB en ca-central-1. Solo CloudFront accede.</t>
  </si>
  <si>
    <t>VPC Endpoint S3 Gateway</t>
  </si>
  <si>
    <t>Endpoint tipo Gateway para S3
Acceso privado desde subredes privadas</t>
  </si>
  <si>
    <t>Sin costo adicional. Gateway endpoints son gratuitos en AWS.</t>
  </si>
  <si>
    <t>VPC Endpoint Secrets Manager</t>
  </si>
  <si>
    <t>Endpoint tipo Interface — Secrets Manager
Acceso privado sin salir a internet</t>
  </si>
  <si>
    <t>Interface endpoint: $0.01/hora por AZ. Estimado 1 AZ.</t>
  </si>
  <si>
    <t>AWS Secrets Manager</t>
  </si>
  <si>
    <t>Gestión de credenciales RDS y configuración
Rotación automática habilitada</t>
  </si>
  <si>
    <t>$0.40/secreto/mes. 3 secretos: RDS principal, RDS bodega, Redis.</t>
  </si>
  <si>
    <t>AWS Certificate Manager</t>
  </si>
  <si>
    <t>Certificado SSL/TLS para ALB
Renovación automática</t>
  </si>
  <si>
    <t>ACM es gratuito para certificados usados con servicios AWS.</t>
  </si>
  <si>
    <t>Amazon CloudWatch</t>
  </si>
  <si>
    <t>Log Groups EC2 y ALB Access Logs
Métricas y alarmas 5xx / latencia</t>
  </si>
  <si>
    <t>Estimado: 5 GB logs/mes ($0.50/GB) + 2 alarmas ($0.10 c/u).</t>
  </si>
  <si>
    <t>AWS IAM</t>
  </si>
  <si>
    <t>Roles y políticas para EC2, RDS y Secrets Manager
Principio de menor privilegio</t>
  </si>
  <si>
    <t>IAM es gratuito. Sin costo adicional.</t>
  </si>
  <si>
    <t>Estimado conservador. Excluye tráfico de datos variable.</t>
  </si>
  <si>
    <t>NOTAS Y SUPUESTOS</t>
  </si>
  <si>
    <t>1.  Precios basados en la región ca-central-1 (Canadá) — AWS Pricing Calculator, junio 2026.</t>
  </si>
  <si>
    <t>2.  Estimado de tráfico conservador: 10 GB/mes CloudFront, 100 GB/mes VPC Peering.</t>
  </si>
  <si>
    <t>3.  No incluye costos de transferencia de datos salientes a internet (data transfer out).</t>
  </si>
  <si>
    <t>4.  EC2 On-Demand. En producción real se recomienda Reserved Instances (ahorro ~40%).</t>
  </si>
  <si>
    <t>5.  RDS Multi-AZ es obligatorio para el ambiente productivo del casino (alta disponibilidad).</t>
  </si>
  <si>
    <t>6.  Secrets Manager rota credenciales automáticamente — buena práctica de seguridad.</t>
  </si>
  <si>
    <t>7.  CloudFront y ACM son servicios globales — facturados en us-east-1 independiente de la región.</t>
  </si>
  <si>
    <t xml:space="preserve">  Computo</t>
  </si>
  <si>
    <t xml:space="preserve"> Base de datos</t>
  </si>
  <si>
    <t xml:space="preserve">  Redes y entrega de contenido</t>
  </si>
  <si>
    <t xml:space="preserve">  Almacenamiento</t>
  </si>
  <si>
    <t xml:space="preserve">  Seguridad y monitoreo</t>
  </si>
  <si>
    <t>Total Mensual Estimado</t>
  </si>
  <si>
    <t xml:space="preserve">Calculadora de Costos Mensuales — AWS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</si>
</sst>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\$#,##0.00"/>
  </numFmts>
  <fonts count="14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A2B3C"/>
      <name val="Arial"/>
      <charset val="1"/>
    </font>
    <font>
      <b/>
      <sz val="10"/>
      <color rgb="FF1A1A1A"/>
      <name val="Arial"/>
      <charset val="1"/>
    </font>
    <font>
      <sz val="9"/>
      <color rgb="FF1A1A1A"/>
      <name val="Arial"/>
      <charset val="1"/>
    </font>
    <font>
      <sz val="10"/>
      <color rgb="FF1A1A1A"/>
      <name val="Arial"/>
      <charset val="1"/>
    </font>
    <font>
      <b/>
      <sz val="10"/>
      <color rgb="FF1A5276"/>
      <name val="Arial"/>
      <charset val="1"/>
    </font>
    <font>
      <i/>
      <sz val="8"/>
      <color rgb="FF555555"/>
      <name val="Arial"/>
      <charset val="1"/>
    </font>
    <font>
      <b/>
      <sz val="12"/>
      <color rgb="FFFFFFFF"/>
      <name val="Arial"/>
      <charset val="1"/>
    </font>
    <font>
      <b/>
      <sz val="13"/>
      <color rgb="FFFFFFFF"/>
      <name val="Arial"/>
      <charset val="1"/>
    </font>
    <font>
      <i/>
      <sz val="8"/>
      <color rgb="FFCCDDEE"/>
      <name val="Arial"/>
      <charset val="1"/>
    </font>
    <font>
      <sz val="9"/>
      <color rgb="FF333333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A2B3C"/>
        <bgColor rgb="FF333333"/>
      </patternFill>
    </fill>
    <fill>
      <patternFill patternType="solid">
        <fgColor rgb="FF2E4057"/>
        <bgColor rgb="FF333333"/>
      </patternFill>
    </fill>
    <fill>
      <patternFill patternType="solid">
        <fgColor rgb="FFD6E4F0"/>
        <bgColor rgb="FFCCDDEE"/>
      </patternFill>
    </fill>
    <fill>
      <patternFill patternType="solid">
        <fgColor rgb="FFFFFFFF"/>
        <bgColor rgb="FFF7FBFF"/>
      </patternFill>
    </fill>
    <fill>
      <patternFill patternType="solid">
        <fgColor rgb="FFF7FBFF"/>
        <bgColor rgb="FFFFFFFF"/>
      </patternFill>
    </fill>
    <fill>
      <patternFill patternType="solid">
        <fgColor rgb="FF1D6FA4"/>
        <bgColor rgb="FF008080"/>
      </patternFill>
    </fill>
    <fill>
      <patternFill patternType="solid">
        <fgColor rgb="FFF0F4F8"/>
        <bgColor rgb="FFF7FBFF"/>
      </patternFill>
    </fill>
  </fills>
  <borders count="5">
    <border>
      <left/>
      <right/>
      <top/>
      <bottom/>
      <diagonal/>
    </border>
    <border>
      <left style="medium">
        <color rgb="FF1A2B3C"/>
      </left>
      <right/>
      <top style="medium">
        <color rgb="FF1A2B3C"/>
      </top>
      <bottom style="medium">
        <color rgb="FF1A2B3C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/>
      <top style="thin">
        <color rgb="FFB0C4DE"/>
      </top>
      <bottom style="thin">
        <color rgb="FFB0C4DE"/>
      </bottom>
      <diagonal/>
    </border>
    <border>
      <left style="medium">
        <color rgb="FF1A2B3C"/>
      </left>
      <right style="medium">
        <color rgb="FF1A2B3C"/>
      </right>
      <top style="medium">
        <color rgb="FF1A2B3C"/>
      </top>
      <bottom style="medium">
        <color rgb="FF1A2B3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3" fillId="8" borderId="3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164" fontId="7" fillId="5" borderId="2" xfId="0" applyNumberFormat="1" applyFont="1" applyFill="1" applyBorder="1" applyAlignment="1">
      <alignment horizontal="center" vertical="center" wrapText="1"/>
    </xf>
    <xf numFmtId="165" fontId="8" fillId="5" borderId="2" xfId="0" applyNumberFormat="1" applyFont="1" applyFill="1" applyBorder="1" applyAlignment="1">
      <alignment horizontal="right" vertical="center"/>
    </xf>
    <xf numFmtId="0" fontId="9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 wrapText="1"/>
    </xf>
    <xf numFmtId="164" fontId="7" fillId="6" borderId="2" xfId="0" applyNumberFormat="1" applyFont="1" applyFill="1" applyBorder="1" applyAlignment="1">
      <alignment horizontal="center" vertical="center" wrapText="1"/>
    </xf>
    <xf numFmtId="165" fontId="8" fillId="6" borderId="2" xfId="0" applyNumberFormat="1" applyFont="1" applyFill="1" applyBorder="1" applyAlignment="1">
      <alignment horizontal="right" vertical="center"/>
    </xf>
    <xf numFmtId="0" fontId="9" fillId="6" borderId="2" xfId="0" applyFont="1" applyFill="1" applyBorder="1" applyAlignment="1">
      <alignment horizontal="left" vertical="center" wrapText="1"/>
    </xf>
    <xf numFmtId="165" fontId="11" fillId="7" borderId="4" xfId="0" applyNumberFormat="1" applyFont="1" applyFill="1" applyBorder="1" applyAlignment="1">
      <alignment horizontal="right" vertical="center"/>
    </xf>
    <xf numFmtId="0" fontId="12" fillId="7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5276"/>
      <rgbColor rgb="FFB0C4DE"/>
      <rgbColor rgb="FF808080"/>
      <rgbColor rgb="FF9999FF"/>
      <rgbColor rgb="FF993366"/>
      <rgbColor rgb="FFF7FBFF"/>
      <rgbColor rgb="FFF0F4F8"/>
      <rgbColor rgb="FF660066"/>
      <rgbColor rgb="FFFF8080"/>
      <rgbColor rgb="FF1D6FA4"/>
      <rgbColor rgb="FFCCDD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2B3C"/>
      <rgbColor rgb="FF339966"/>
      <rgbColor rgb="FF003300"/>
      <rgbColor rgb="FF1A1A1A"/>
      <rgbColor rgb="FF993300"/>
      <rgbColor rgb="FF993366"/>
      <rgbColor rgb="FF2E405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zoomScaleNormal="100" workbookViewId="0">
      <pane ySplit="3" topLeftCell="A4" activePane="bottomLeft" state="frozen"/>
      <selection pane="bottomLeft" activeCell="O8" sqref="O8"/>
    </sheetView>
  </sheetViews>
  <sheetFormatPr baseColWidth="10" defaultColWidth="8.7109375" defaultRowHeight="15" x14ac:dyDescent="0.25"/>
  <cols>
    <col min="1" max="1" width="28" customWidth="1"/>
    <col min="2" max="2" width="42" customWidth="1"/>
    <col min="3" max="5" width="16" customWidth="1"/>
    <col min="6" max="6" width="18" customWidth="1"/>
    <col min="7" max="7" width="36" customWidth="1"/>
  </cols>
  <sheetData>
    <row r="1" spans="1:7" ht="36" customHeight="1" x14ac:dyDescent="0.25">
      <c r="A1" s="5" t="s">
        <v>67</v>
      </c>
      <c r="B1" s="5"/>
      <c r="C1" s="5"/>
      <c r="D1" s="5"/>
      <c r="E1" s="5"/>
      <c r="F1" s="5"/>
      <c r="G1" s="5"/>
    </row>
    <row r="2" spans="1:7" ht="21.75" customHeight="1" x14ac:dyDescent="0.25">
      <c r="A2" s="4" t="s">
        <v>0</v>
      </c>
      <c r="B2" s="4"/>
      <c r="C2" s="4"/>
      <c r="D2" s="4"/>
      <c r="E2" s="4"/>
      <c r="F2" s="4"/>
      <c r="G2" s="4"/>
    </row>
    <row r="3" spans="1:7" ht="30" customHeight="1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21.75" customHeight="1" x14ac:dyDescent="0.25">
      <c r="A4" s="3" t="s">
        <v>61</v>
      </c>
      <c r="B4" s="3"/>
      <c r="C4" s="3"/>
      <c r="D4" s="3"/>
      <c r="E4" s="3"/>
      <c r="F4" s="3"/>
      <c r="G4" s="3"/>
    </row>
    <row r="5" spans="1:7" ht="42" customHeight="1" x14ac:dyDescent="0.25">
      <c r="A5" s="7" t="s">
        <v>8</v>
      </c>
      <c r="B5" s="8" t="s">
        <v>9</v>
      </c>
      <c r="C5" s="9">
        <v>4</v>
      </c>
      <c r="D5" s="10">
        <v>4.1599999999999998E-2</v>
      </c>
      <c r="E5" s="10">
        <v>730</v>
      </c>
      <c r="F5" s="11">
        <f>C5*D5*E5</f>
        <v>121.47199999999999</v>
      </c>
      <c r="G5" s="12" t="s">
        <v>10</v>
      </c>
    </row>
    <row r="6" spans="1:7" ht="21.75" customHeight="1" x14ac:dyDescent="0.25">
      <c r="A6" s="3" t="s">
        <v>62</v>
      </c>
      <c r="B6" s="3"/>
      <c r="C6" s="3"/>
      <c r="D6" s="3"/>
      <c r="E6" s="3"/>
      <c r="F6" s="3"/>
      <c r="G6" s="3"/>
    </row>
    <row r="7" spans="1:7" ht="42" customHeight="1" x14ac:dyDescent="0.25">
      <c r="A7" s="7" t="s">
        <v>11</v>
      </c>
      <c r="B7" s="8" t="s">
        <v>12</v>
      </c>
      <c r="C7" s="9">
        <v>1</v>
      </c>
      <c r="D7" s="10">
        <v>0.27200000000000002</v>
      </c>
      <c r="E7" s="10">
        <v>730</v>
      </c>
      <c r="F7" s="11">
        <f>C7*D7*E7</f>
        <v>198.56</v>
      </c>
      <c r="G7" s="12" t="s">
        <v>13</v>
      </c>
    </row>
    <row r="8" spans="1:7" ht="42" customHeight="1" x14ac:dyDescent="0.25">
      <c r="A8" s="13" t="s">
        <v>11</v>
      </c>
      <c r="B8" s="14" t="s">
        <v>14</v>
      </c>
      <c r="C8" s="15">
        <v>1</v>
      </c>
      <c r="D8" s="16">
        <v>0.13600000000000001</v>
      </c>
      <c r="E8" s="16">
        <v>730</v>
      </c>
      <c r="F8" s="17">
        <f>C8*D8*E8</f>
        <v>99.28</v>
      </c>
      <c r="G8" s="18" t="s">
        <v>15</v>
      </c>
    </row>
    <row r="9" spans="1:7" ht="42" customHeight="1" x14ac:dyDescent="0.25">
      <c r="A9" s="7" t="s">
        <v>16</v>
      </c>
      <c r="B9" s="8" t="s">
        <v>17</v>
      </c>
      <c r="C9" s="9">
        <v>1</v>
      </c>
      <c r="D9" s="10">
        <v>3.4000000000000002E-2</v>
      </c>
      <c r="E9" s="10">
        <v>730</v>
      </c>
      <c r="F9" s="11">
        <f>C9*D9*E9</f>
        <v>24.82</v>
      </c>
      <c r="G9" s="12" t="s">
        <v>18</v>
      </c>
    </row>
    <row r="10" spans="1:7" ht="21.75" customHeight="1" x14ac:dyDescent="0.25">
      <c r="A10" s="3" t="s">
        <v>63</v>
      </c>
      <c r="B10" s="3"/>
      <c r="C10" s="3"/>
      <c r="D10" s="3"/>
      <c r="E10" s="3"/>
      <c r="F10" s="3"/>
      <c r="G10" s="3"/>
    </row>
    <row r="11" spans="1:7" ht="42" customHeight="1" x14ac:dyDescent="0.25">
      <c r="A11" s="7" t="s">
        <v>19</v>
      </c>
      <c r="B11" s="8" t="s">
        <v>20</v>
      </c>
      <c r="C11" s="9">
        <v>2</v>
      </c>
      <c r="D11" s="10">
        <v>4.4999999999999998E-2</v>
      </c>
      <c r="E11" s="10">
        <v>730</v>
      </c>
      <c r="F11" s="11">
        <f>C11*D11*E11</f>
        <v>65.7</v>
      </c>
      <c r="G11" s="12" t="s">
        <v>21</v>
      </c>
    </row>
    <row r="12" spans="1:7" ht="42" customHeight="1" x14ac:dyDescent="0.25">
      <c r="A12" s="13" t="s">
        <v>22</v>
      </c>
      <c r="B12" s="14" t="s">
        <v>23</v>
      </c>
      <c r="C12" s="15">
        <v>1</v>
      </c>
      <c r="D12" s="16">
        <v>8.0000000000000002E-3</v>
      </c>
      <c r="E12" s="16">
        <v>730</v>
      </c>
      <c r="F12" s="17">
        <f>C12*D12*E12</f>
        <v>5.84</v>
      </c>
      <c r="G12" s="18" t="s">
        <v>24</v>
      </c>
    </row>
    <row r="13" spans="1:7" ht="42" customHeight="1" x14ac:dyDescent="0.25">
      <c r="A13" s="7" t="s">
        <v>25</v>
      </c>
      <c r="B13" s="8" t="s">
        <v>26</v>
      </c>
      <c r="C13" s="9">
        <v>1</v>
      </c>
      <c r="D13" s="10">
        <v>1</v>
      </c>
      <c r="E13" s="10">
        <v>1</v>
      </c>
      <c r="F13" s="11">
        <f>C13*D13*E13</f>
        <v>1</v>
      </c>
      <c r="G13" s="12" t="s">
        <v>27</v>
      </c>
    </row>
    <row r="14" spans="1:7" ht="42" customHeight="1" x14ac:dyDescent="0.25">
      <c r="A14" s="13" t="s">
        <v>28</v>
      </c>
      <c r="B14" s="14" t="s">
        <v>29</v>
      </c>
      <c r="C14" s="15">
        <v>1</v>
      </c>
      <c r="D14" s="16">
        <v>1</v>
      </c>
      <c r="E14" s="16">
        <v>1</v>
      </c>
      <c r="F14" s="17">
        <f>C14*D14*E14</f>
        <v>1</v>
      </c>
      <c r="G14" s="18" t="s">
        <v>30</v>
      </c>
    </row>
    <row r="15" spans="1:7" ht="21.75" customHeight="1" x14ac:dyDescent="0.25">
      <c r="A15" s="3" t="s">
        <v>64</v>
      </c>
      <c r="B15" s="3"/>
      <c r="C15" s="3"/>
      <c r="D15" s="3"/>
      <c r="E15" s="3"/>
      <c r="F15" s="3"/>
      <c r="G15" s="3"/>
    </row>
    <row r="16" spans="1:7" ht="42" customHeight="1" x14ac:dyDescent="0.25">
      <c r="A16" s="7" t="s">
        <v>31</v>
      </c>
      <c r="B16" s="8" t="s">
        <v>32</v>
      </c>
      <c r="C16" s="9">
        <v>1</v>
      </c>
      <c r="D16" s="10">
        <v>2.2999999999999998</v>
      </c>
      <c r="E16" s="10">
        <v>1</v>
      </c>
      <c r="F16" s="11">
        <f>C16*D16*E16</f>
        <v>2.2999999999999998</v>
      </c>
      <c r="G16" s="12" t="s">
        <v>33</v>
      </c>
    </row>
    <row r="17" spans="1:7" ht="42" customHeight="1" x14ac:dyDescent="0.25">
      <c r="A17" s="13" t="s">
        <v>34</v>
      </c>
      <c r="B17" s="14" t="s">
        <v>35</v>
      </c>
      <c r="C17" s="15">
        <v>1</v>
      </c>
      <c r="D17" s="16">
        <v>0</v>
      </c>
      <c r="E17" s="16">
        <v>1</v>
      </c>
      <c r="F17" s="17">
        <f>C17*D17*E17</f>
        <v>0</v>
      </c>
      <c r="G17" s="18" t="s">
        <v>36</v>
      </c>
    </row>
    <row r="18" spans="1:7" ht="42" customHeight="1" x14ac:dyDescent="0.25">
      <c r="A18" s="7" t="s">
        <v>37</v>
      </c>
      <c r="B18" s="8" t="s">
        <v>38</v>
      </c>
      <c r="C18" s="9">
        <v>1</v>
      </c>
      <c r="D18" s="10">
        <v>0.01</v>
      </c>
      <c r="E18" s="10">
        <v>730</v>
      </c>
      <c r="F18" s="11">
        <f>C18*D18*E18</f>
        <v>7.3</v>
      </c>
      <c r="G18" s="12" t="s">
        <v>39</v>
      </c>
    </row>
    <row r="19" spans="1:7" ht="21.75" customHeight="1" x14ac:dyDescent="0.25">
      <c r="A19" s="3" t="s">
        <v>65</v>
      </c>
      <c r="B19" s="3"/>
      <c r="C19" s="3"/>
      <c r="D19" s="3"/>
      <c r="E19" s="3"/>
      <c r="F19" s="3"/>
      <c r="G19" s="3"/>
    </row>
    <row r="20" spans="1:7" ht="42" customHeight="1" x14ac:dyDescent="0.25">
      <c r="A20" s="7" t="s">
        <v>40</v>
      </c>
      <c r="B20" s="8" t="s">
        <v>41</v>
      </c>
      <c r="C20" s="9">
        <v>3</v>
      </c>
      <c r="D20" s="10">
        <v>0.4</v>
      </c>
      <c r="E20" s="10">
        <v>1</v>
      </c>
      <c r="F20" s="11">
        <f>C20*D20*E20</f>
        <v>1.2000000000000002</v>
      </c>
      <c r="G20" s="12" t="s">
        <v>42</v>
      </c>
    </row>
    <row r="21" spans="1:7" ht="42" customHeight="1" x14ac:dyDescent="0.25">
      <c r="A21" s="13" t="s">
        <v>43</v>
      </c>
      <c r="B21" s="14" t="s">
        <v>44</v>
      </c>
      <c r="C21" s="15">
        <v>1</v>
      </c>
      <c r="D21" s="16">
        <v>0</v>
      </c>
      <c r="E21" s="16">
        <v>1</v>
      </c>
      <c r="F21" s="17">
        <f>C21*D21*E21</f>
        <v>0</v>
      </c>
      <c r="G21" s="18" t="s">
        <v>45</v>
      </c>
    </row>
    <row r="22" spans="1:7" ht="42" customHeight="1" x14ac:dyDescent="0.25">
      <c r="A22" s="7" t="s">
        <v>46</v>
      </c>
      <c r="B22" s="8" t="s">
        <v>47</v>
      </c>
      <c r="C22" s="9">
        <v>1</v>
      </c>
      <c r="D22" s="10">
        <v>3.5</v>
      </c>
      <c r="E22" s="10">
        <v>1</v>
      </c>
      <c r="F22" s="11">
        <f>C22*D22*E22</f>
        <v>3.5</v>
      </c>
      <c r="G22" s="12" t="s">
        <v>48</v>
      </c>
    </row>
    <row r="23" spans="1:7" ht="42" customHeight="1" x14ac:dyDescent="0.25">
      <c r="A23" s="13" t="s">
        <v>49</v>
      </c>
      <c r="B23" s="14" t="s">
        <v>50</v>
      </c>
      <c r="C23" s="15">
        <v>1</v>
      </c>
      <c r="D23" s="16">
        <v>0</v>
      </c>
      <c r="E23" s="16">
        <v>1</v>
      </c>
      <c r="F23" s="17">
        <f>C23*D23*E23</f>
        <v>0</v>
      </c>
      <c r="G23" s="18" t="s">
        <v>51</v>
      </c>
    </row>
    <row r="24" spans="1:7" ht="7.5" customHeight="1" x14ac:dyDescent="0.25"/>
    <row r="25" spans="1:7" ht="31.5" customHeight="1" x14ac:dyDescent="0.25">
      <c r="A25" s="2" t="s">
        <v>66</v>
      </c>
      <c r="B25" s="2"/>
      <c r="C25" s="2"/>
      <c r="D25" s="2"/>
      <c r="E25" s="2"/>
      <c r="F25" s="19">
        <f>SUM(F5,F7,F8,F9,F11,F12,F13,F14,F16,F17,F18,F20,F21,F22,F23)</f>
        <v>531.97199999999998</v>
      </c>
      <c r="G25" s="20" t="s">
        <v>52</v>
      </c>
    </row>
    <row r="27" spans="1:7" ht="19.5" customHeight="1" x14ac:dyDescent="0.25">
      <c r="A27" s="3" t="s">
        <v>53</v>
      </c>
      <c r="B27" s="3"/>
      <c r="C27" s="3"/>
      <c r="D27" s="3"/>
      <c r="E27" s="3"/>
      <c r="F27" s="3"/>
      <c r="G27" s="3"/>
    </row>
    <row r="28" spans="1:7" ht="18" customHeight="1" x14ac:dyDescent="0.25">
      <c r="A28" s="1" t="s">
        <v>54</v>
      </c>
      <c r="B28" s="1"/>
      <c r="C28" s="1"/>
      <c r="D28" s="1"/>
      <c r="E28" s="1"/>
      <c r="F28" s="1"/>
      <c r="G28" s="1"/>
    </row>
    <row r="29" spans="1:7" ht="18" customHeight="1" x14ac:dyDescent="0.25">
      <c r="A29" s="1" t="s">
        <v>55</v>
      </c>
      <c r="B29" s="1"/>
      <c r="C29" s="1"/>
      <c r="D29" s="1"/>
      <c r="E29" s="1"/>
      <c r="F29" s="1"/>
      <c r="G29" s="1"/>
    </row>
    <row r="30" spans="1:7" ht="18" customHeight="1" x14ac:dyDescent="0.25">
      <c r="A30" s="1" t="s">
        <v>56</v>
      </c>
      <c r="B30" s="1"/>
      <c r="C30" s="1"/>
      <c r="D30" s="1"/>
      <c r="E30" s="1"/>
      <c r="F30" s="1"/>
      <c r="G30" s="1"/>
    </row>
    <row r="31" spans="1:7" ht="18" customHeight="1" x14ac:dyDescent="0.25">
      <c r="A31" s="1" t="s">
        <v>57</v>
      </c>
      <c r="B31" s="1"/>
      <c r="C31" s="1"/>
      <c r="D31" s="1"/>
      <c r="E31" s="1"/>
      <c r="F31" s="1"/>
      <c r="G31" s="1"/>
    </row>
    <row r="32" spans="1:7" ht="18" customHeight="1" x14ac:dyDescent="0.25">
      <c r="A32" s="1" t="s">
        <v>58</v>
      </c>
      <c r="B32" s="1"/>
      <c r="C32" s="1"/>
      <c r="D32" s="1"/>
      <c r="E32" s="1"/>
      <c r="F32" s="1"/>
      <c r="G32" s="1"/>
    </row>
    <row r="33" spans="1:7" ht="18" customHeight="1" x14ac:dyDescent="0.25">
      <c r="A33" s="1" t="s">
        <v>59</v>
      </c>
      <c r="B33" s="1"/>
      <c r="C33" s="1"/>
      <c r="D33" s="1"/>
      <c r="E33" s="1"/>
      <c r="F33" s="1"/>
      <c r="G33" s="1"/>
    </row>
    <row r="34" spans="1:7" ht="18" customHeight="1" x14ac:dyDescent="0.25">
      <c r="A34" s="1" t="s">
        <v>60</v>
      </c>
      <c r="B34" s="1"/>
      <c r="C34" s="1"/>
      <c r="D34" s="1"/>
      <c r="E34" s="1"/>
      <c r="F34" s="1"/>
      <c r="G34" s="1"/>
    </row>
  </sheetData>
  <mergeCells count="16">
    <mergeCell ref="A34:G34"/>
    <mergeCell ref="A29:G29"/>
    <mergeCell ref="A30:G30"/>
    <mergeCell ref="A31:G31"/>
    <mergeCell ref="A32:G32"/>
    <mergeCell ref="A33:G33"/>
    <mergeCell ref="A15:G15"/>
    <mergeCell ref="A19:G19"/>
    <mergeCell ref="A25:E25"/>
    <mergeCell ref="A27:G27"/>
    <mergeCell ref="A28:G28"/>
    <mergeCell ref="A1:G1"/>
    <mergeCell ref="A2:G2"/>
    <mergeCell ref="A4:G4"/>
    <mergeCell ref="A6:G6"/>
    <mergeCell ref="A10:G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Costos Mensuales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Paolo Maldonado</cp:lastModifiedBy>
  <cp:revision>0</cp:revision>
  <dcterms:created xsi:type="dcterms:W3CDTF">2026-06-11T00:46:57Z</dcterms:created>
  <dcterms:modified xsi:type="dcterms:W3CDTF">2026-06-11T01:07:16Z</dcterms:modified>
  <dc:language>en-US</dc:language>
</cp:coreProperties>
</file>